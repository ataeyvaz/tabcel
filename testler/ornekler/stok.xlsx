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k" sheetId="1" state="visible" r:id="rId1"/>
    <sheet name="Fiyatlar" sheetId="2" state="visible" r:id="rId2"/>
  </sheets>
  <definedNames>
    <definedName name="FiyatListesi">Fiyatlar!$A$2:$B$9</definedName>
    <definedName name="KdvOrani">Stok!$G$2</definedName>
    <definedName name="_xlnm._FilterDatabase" localSheetId="0" hidden="1">'Stok'!$A$1:$E$9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Ata</author>
  </authors>
  <commentList>
    <comment ref="A9" authorId="0" shapeId="0">
      <text>
        <t>Sezon sonu: fiyat güncellenecek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Ürün</t>
        </is>
      </c>
      <c r="B1" s="1" t="inlineStr">
        <is>
          <t>Kategori</t>
        </is>
      </c>
      <c r="C1" s="1" t="inlineStr">
        <is>
          <t>Adet</t>
        </is>
      </c>
      <c r="D1" s="1" t="inlineStr">
        <is>
          <t>Birim fiyat</t>
        </is>
      </c>
      <c r="E1" s="1" t="inlineStr">
        <is>
          <t>Tutar</t>
        </is>
      </c>
      <c r="F1" t="inlineStr">
        <is>
          <t>KDV'li tutar</t>
        </is>
      </c>
      <c r="G1" t="inlineStr">
        <is>
          <t>KDV</t>
        </is>
      </c>
      <c r="H1" t="inlineStr">
        <is>
          <t>Liste fiyatı</t>
        </is>
      </c>
    </row>
    <row r="2" hidden="1">
      <c r="A2" t="inlineStr">
        <is>
          <t>Kulaklık</t>
        </is>
      </c>
      <c r="B2" t="inlineStr">
        <is>
          <t>Elektronik</t>
        </is>
      </c>
      <c r="C2" t="n">
        <v>4</v>
      </c>
      <c r="D2" t="n">
        <v>350</v>
      </c>
      <c r="E2">
        <f>C2*D2</f>
        <v/>
      </c>
      <c r="F2">
        <f>E2*(1+KdvOrani)</f>
        <v/>
      </c>
      <c r="G2" t="n">
        <v>0.2</v>
      </c>
      <c r="H2">
        <f>VLOOKUP(A2,FiyatListesi,2,FALSE)</f>
        <v/>
      </c>
    </row>
    <row r="3" hidden="1">
      <c r="A3" t="inlineStr">
        <is>
          <t>Şarj aleti</t>
        </is>
      </c>
      <c r="B3" t="inlineStr">
        <is>
          <t>Elektronik</t>
        </is>
      </c>
      <c r="C3" t="n">
        <v>25</v>
      </c>
      <c r="D3" t="n">
        <v>120</v>
      </c>
      <c r="E3">
        <f>C3*D3</f>
        <v/>
      </c>
      <c r="F3">
        <f>E3*(1+KdvOrani)</f>
        <v/>
      </c>
      <c r="H3">
        <f>VLOOKUP(A3,FiyatListesi,2,FALSE)</f>
        <v/>
      </c>
    </row>
    <row r="4">
      <c r="A4" t="inlineStr">
        <is>
          <t>Çay</t>
        </is>
      </c>
      <c r="B4" t="inlineStr">
        <is>
          <t>Gıda</t>
        </is>
      </c>
      <c r="C4" t="n">
        <v>60</v>
      </c>
      <c r="D4" t="n">
        <v>45.5</v>
      </c>
      <c r="E4">
        <f>C4*D4</f>
        <v/>
      </c>
      <c r="F4">
        <f>E4*(1+KdvOrani)</f>
        <v/>
      </c>
      <c r="H4">
        <f>VLOOKUP(A4,FiyatListesi,2,FALSE)</f>
        <v/>
      </c>
    </row>
    <row r="5">
      <c r="A5" t="inlineStr">
        <is>
          <t>Kahve</t>
        </is>
      </c>
      <c r="B5" t="inlineStr">
        <is>
          <t>Gıda</t>
        </is>
      </c>
      <c r="C5" t="n">
        <v>8</v>
      </c>
      <c r="D5" t="n">
        <v>210</v>
      </c>
      <c r="E5">
        <f>C5*D5</f>
        <v/>
      </c>
      <c r="F5">
        <f>E5*(1+KdvOrani)</f>
        <v/>
      </c>
      <c r="H5">
        <f>VLOOKUP(A5,FiyatListesi,2,FALSE)</f>
        <v/>
      </c>
    </row>
    <row r="6">
      <c r="A6" t="inlineStr">
        <is>
          <t>Tişört</t>
        </is>
      </c>
      <c r="B6" t="inlineStr">
        <is>
          <t>Giyim</t>
        </is>
      </c>
      <c r="C6" t="n">
        <v>30</v>
      </c>
      <c r="D6" t="n">
        <v>150</v>
      </c>
      <c r="E6">
        <f>C6*D6</f>
        <v/>
      </c>
      <c r="F6">
        <f>E6*(1+KdvOrani)</f>
        <v/>
      </c>
      <c r="H6">
        <f>VLOOKUP(A6,FiyatListesi,2,FALSE)</f>
        <v/>
      </c>
    </row>
    <row r="7">
      <c r="A7" t="inlineStr">
        <is>
          <t>Çorap</t>
        </is>
      </c>
      <c r="B7" t="inlineStr">
        <is>
          <t>Giyim</t>
        </is>
      </c>
      <c r="C7" t="n">
        <v>5</v>
      </c>
      <c r="D7" t="n">
        <v>35</v>
      </c>
      <c r="E7">
        <f>C7*D7</f>
        <v/>
      </c>
      <c r="F7">
        <f>E7*(1+KdvOrani)</f>
        <v/>
      </c>
      <c r="H7">
        <f>VLOOKUP(A7,FiyatListesi,2,FALSE)</f>
        <v/>
      </c>
    </row>
    <row r="8">
      <c r="A8" t="inlineStr">
        <is>
          <t>Bisküvi</t>
        </is>
      </c>
      <c r="B8" t="inlineStr">
        <is>
          <t>Gıda</t>
        </is>
      </c>
      <c r="C8" t="n">
        <v>90</v>
      </c>
      <c r="D8" t="n">
        <v>12.75</v>
      </c>
      <c r="E8">
        <f>C8*D8</f>
        <v/>
      </c>
      <c r="F8">
        <f>E8*(1+KdvOrani)</f>
        <v/>
      </c>
      <c r="H8">
        <f>VLOOKUP(A8,FiyatListesi,2,FALSE)</f>
        <v/>
      </c>
    </row>
    <row r="9">
      <c r="A9" t="inlineStr">
        <is>
          <t>Mont</t>
        </is>
      </c>
      <c r="B9" t="inlineStr">
        <is>
          <t>Giyim</t>
        </is>
      </c>
      <c r="C9" t="n">
        <v>12</v>
      </c>
      <c r="D9" t="n">
        <v>900</v>
      </c>
      <c r="E9">
        <f>C9*D9</f>
        <v/>
      </c>
      <c r="F9">
        <f>E9*(1+KdvOrani)</f>
        <v/>
      </c>
      <c r="H9">
        <f>VLOOKUP(A9,FiyatListesi,2,FALSE)</f>
        <v/>
      </c>
    </row>
    <row r="11">
      <c r="A11" t="inlineStr">
        <is>
          <t>Görünen toplam</t>
        </is>
      </c>
      <c r="E11">
        <f>SUBTOTAL(109,E2:E9)</f>
        <v/>
      </c>
    </row>
    <row r="12">
      <c r="A12" t="inlineStr">
        <is>
          <t>Tüm toplam</t>
        </is>
      </c>
      <c r="E12">
        <f>SUM(E2:E9)</f>
        <v/>
      </c>
    </row>
  </sheetData>
  <autoFilter ref="A1:E9">
    <filterColumn colId="1" hiddenButton="0" showButton="1">
      <filters>
        <filter val="Gıda"/>
        <filter val="Giyim"/>
      </filters>
    </filterColumn>
  </autoFilter>
  <conditionalFormatting sqref="C2:C9">
    <cfRule type="cellIs" priority="1" operator="lessThan" dxfId="0">
      <formula>10</formula>
    </cfRule>
  </conditionalFormatting>
  <conditionalFormatting sqref="E2:E9">
    <cfRule type="dataBar" priority="2">
      <dataBar>
        <cfvo type="min"/>
        <cfvo type="max"/>
        <color rgb="00638EC6"/>
      </dataBar>
    </cfRule>
  </conditionalFormatting>
  <conditionalFormatting sqref="D2:D9">
    <cfRule type="colorScale" priority="3">
      <colorScale>
        <cfvo type="min"/>
        <cfvo type="max"/>
        <color rgb="0063BE7B"/>
        <color rgb="00F8696B"/>
      </colorScale>
    </cfRule>
  </conditionalFormatting>
  <dataValidations count="2">
    <dataValidation sqref="B2:B9" showDropDown="0" showInputMessage="0" showErrorMessage="1" allowBlank="1" errorTitle="Kategori" error="Listeden seçin" type="list">
      <formula1>"Elektronik,Gıda,Giyim"</formula1>
    </dataValidation>
    <dataValidation sqref="C2:C9" showDropDown="0" showInputMessage="0" showErrorMessage="1" allowBlank="0" type="whole" operator="between">
      <formula1>0</formula1>
      <formula2>10000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</t>
        </is>
      </c>
      <c r="B1" t="inlineStr">
        <is>
          <t>Liste fiyatı</t>
        </is>
      </c>
    </row>
    <row r="2">
      <c r="A2" t="inlineStr">
        <is>
          <t>Kulaklık</t>
        </is>
      </c>
      <c r="B2" t="n">
        <v>350</v>
      </c>
    </row>
    <row r="3">
      <c r="A3" t="inlineStr">
        <is>
          <t>Şarj aleti</t>
        </is>
      </c>
      <c r="B3" t="n">
        <v>120</v>
      </c>
    </row>
    <row r="4">
      <c r="A4" t="inlineStr">
        <is>
          <t>Çay</t>
        </is>
      </c>
      <c r="B4" t="n">
        <v>45.5</v>
      </c>
    </row>
    <row r="5">
      <c r="A5" t="inlineStr">
        <is>
          <t>Kahve</t>
        </is>
      </c>
      <c r="B5" t="n">
        <v>210</v>
      </c>
    </row>
    <row r="6">
      <c r="A6" t="inlineStr">
        <is>
          <t>Tişört</t>
        </is>
      </c>
      <c r="B6" t="n">
        <v>150</v>
      </c>
    </row>
    <row r="7">
      <c r="A7" t="inlineStr">
        <is>
          <t>Çorap</t>
        </is>
      </c>
      <c r="B7" t="n">
        <v>35</v>
      </c>
    </row>
    <row r="8">
      <c r="A8" t="inlineStr">
        <is>
          <t>Bisküvi</t>
        </is>
      </c>
      <c r="B8" t="n">
        <v>12.75</v>
      </c>
    </row>
    <row r="9">
      <c r="A9" t="inlineStr">
        <is>
          <t>Mont</t>
        </is>
      </c>
      <c r="B9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2026-10-10T15:32:19Z</dcterms:created>
  <dcterms:modified xsi:type="dcterms:W3CDTF">2026-10-10T15:32:19Z</dcterms:modified>
</cp:coreProperties>
</file>